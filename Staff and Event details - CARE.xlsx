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e564f5adca51f3/Desktop/"/>
    </mc:Choice>
  </mc:AlternateContent>
  <xr:revisionPtr revIDLastSave="0" documentId="8_{F28E05C6-8748-4D2C-B60A-E1123B4026DB}" xr6:coauthVersionLast="47" xr6:coauthVersionMax="47" xr10:uidLastSave="{00000000-0000-0000-0000-000000000000}"/>
  <bookViews>
    <workbookView xWindow="-108" yWindow="-108" windowWidth="23256" windowHeight="12456" xr2:uid="{D2242354-3E39-4CA3-864D-22D889162717}"/>
  </bookViews>
  <sheets>
    <sheet name="STAFF DETAILS" sheetId="2" r:id="rId1"/>
    <sheet name="EVENTS - CAR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D18" i="1" l="1"/>
  <c r="E18" i="1"/>
  <c r="F18" i="1"/>
  <c r="C18" i="1"/>
</calcChain>
</file>

<file path=xl/sharedStrings.xml><?xml version="1.0" encoding="utf-8"?>
<sst xmlns="http://schemas.openxmlformats.org/spreadsheetml/2006/main" count="76" uniqueCount="67">
  <si>
    <t>Formation of Community Collectives</t>
  </si>
  <si>
    <t>Training to Social Entitlement Animators</t>
  </si>
  <si>
    <t>Sl.no</t>
  </si>
  <si>
    <t>Programme Head / Activity</t>
  </si>
  <si>
    <t>Baseline Study and Line Listing</t>
  </si>
  <si>
    <t>Monthly Meeting of Community Collectives</t>
  </si>
  <si>
    <t>Experience Sharing &amp; Peer Learning Meeting</t>
  </si>
  <si>
    <t>Convergence with Existing Structures &amp; Stakeholders</t>
  </si>
  <si>
    <t>Interface Meetings with Administrative Heads &amp; Elected Representatives</t>
  </si>
  <si>
    <t>Hand Bills and Wall Painting</t>
  </si>
  <si>
    <t>Mass Community Awareness Event (Rally &amp; People’s Assembly)</t>
  </si>
  <si>
    <t>Inclusive Social Entitlement Camps</t>
  </si>
  <si>
    <t>Disaster Response / Relief to Most Marginalised</t>
  </si>
  <si>
    <t>Staff Capacity Building Training</t>
  </si>
  <si>
    <t>Inter-State Staff Exposure Visit – Karnataka</t>
  </si>
  <si>
    <t>Staff Review &amp; Planning Meeting</t>
  </si>
  <si>
    <t>GRANT TOTAL</t>
  </si>
  <si>
    <t xml:space="preserve">Planned Participants </t>
  </si>
  <si>
    <t>Planned Programs</t>
  </si>
  <si>
    <t>Achieved Programs</t>
  </si>
  <si>
    <t>Achieved Participants</t>
  </si>
  <si>
    <t>STAFF DETAILS - CARE</t>
  </si>
  <si>
    <t>SL.NO</t>
  </si>
  <si>
    <t>NAME</t>
  </si>
  <si>
    <t>BLOOD GROUP</t>
  </si>
  <si>
    <t>QUALIFICATION</t>
  </si>
  <si>
    <t>PHONE NUMBER</t>
  </si>
  <si>
    <t>DESIGNATION</t>
  </si>
  <si>
    <t xml:space="preserve">EXPERIENCE </t>
  </si>
  <si>
    <t>E-Mail ID</t>
  </si>
  <si>
    <t>REGIN MARY</t>
  </si>
  <si>
    <t>B+</t>
  </si>
  <si>
    <t>M.S.W, B.Ed, M.A</t>
  </si>
  <si>
    <t>Executive Director</t>
  </si>
  <si>
    <t>reginmary08@gmail.com</t>
  </si>
  <si>
    <t>BENIT SHINY E</t>
  </si>
  <si>
    <t>A1+</t>
  </si>
  <si>
    <t>M.A, B.Ed, M.S.W</t>
  </si>
  <si>
    <t>Project Manager</t>
  </si>
  <si>
    <t>5 years</t>
  </si>
  <si>
    <t>shinybenit77@gmail.com</t>
  </si>
  <si>
    <t>BENISHA</t>
  </si>
  <si>
    <t>0+</t>
  </si>
  <si>
    <t>M.Com, MBA</t>
  </si>
  <si>
    <t>Finance Manager</t>
  </si>
  <si>
    <t>benisharaj7@gmail.com</t>
  </si>
  <si>
    <t>ANISHA P</t>
  </si>
  <si>
    <t>B.E</t>
  </si>
  <si>
    <t>MIS</t>
  </si>
  <si>
    <t>anishasha0493@gmail.com</t>
  </si>
  <si>
    <t>SUGANYA D</t>
  </si>
  <si>
    <t>B.Com</t>
  </si>
  <si>
    <t>Community Organizer</t>
  </si>
  <si>
    <t>vv6569568@gmail.com</t>
  </si>
  <si>
    <t>FREEDA A</t>
  </si>
  <si>
    <t>GNM</t>
  </si>
  <si>
    <t>freedastarjanfreedastarjan6@gmail.com</t>
  </si>
  <si>
    <t>BERDINA</t>
  </si>
  <si>
    <t>B.A, B.Ed</t>
  </si>
  <si>
    <t>aguvino@gmail.com</t>
  </si>
  <si>
    <t>SAHAYA FERNISHA P</t>
  </si>
  <si>
    <t>A+</t>
  </si>
  <si>
    <t>B.C.A</t>
  </si>
  <si>
    <t>Nofiabiferni@gmail.com</t>
  </si>
  <si>
    <t>RAKSHA</t>
  </si>
  <si>
    <t>Dt.Ed, B.A</t>
  </si>
  <si>
    <t>ifanaadvika@gmail.com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</si>
</sst>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0" borderId="1" xfId="1" applyBorder="1"/>
    <xf numFmtId="0" fontId="8" fillId="0" borderId="1" xfId="0" applyFont="1" applyBorder="1" applyAlignment="1">
      <alignment horizontal="left" vertical="center"/>
    </xf>
    <xf numFmtId="0" fontId="6" fillId="0" borderId="1" xfId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6" fillId="0" borderId="1" xfId="1" applyBorder="1" applyAlignment="1">
      <alignment vertical="center"/>
    </xf>
    <xf numFmtId="0" fontId="0" fillId="0" borderId="0" xfId="0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ginmary08@gmail.com" TargetMode="External"/><Relationship Id="rId3" Type="http://schemas.openxmlformats.org/officeDocument/2006/relationships/hyperlink" Target="mailto:aguvino@gmail.com" TargetMode="External"/><Relationship Id="rId7" Type="http://schemas.openxmlformats.org/officeDocument/2006/relationships/hyperlink" Target="mailto:freedastarjanfreedastarjan6@gmail.com" TargetMode="External"/><Relationship Id="rId2" Type="http://schemas.openxmlformats.org/officeDocument/2006/relationships/hyperlink" Target="mailto:Nofiabiferni@gmail.com" TargetMode="External"/><Relationship Id="rId1" Type="http://schemas.openxmlformats.org/officeDocument/2006/relationships/hyperlink" Target="mailto:shinybenit77@gmail.com" TargetMode="External"/><Relationship Id="rId6" Type="http://schemas.openxmlformats.org/officeDocument/2006/relationships/hyperlink" Target="mailto:vv6569568@gmail.com" TargetMode="External"/><Relationship Id="rId5" Type="http://schemas.openxmlformats.org/officeDocument/2006/relationships/hyperlink" Target="mailto:anishasha0493@gmail.com" TargetMode="External"/><Relationship Id="rId4" Type="http://schemas.openxmlformats.org/officeDocument/2006/relationships/hyperlink" Target="mailto:ifanaadvika@gmail.com" TargetMode="External"/><Relationship Id="rId9" Type="http://schemas.openxmlformats.org/officeDocument/2006/relationships/hyperlink" Target="mailto:benisharaj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9E00-4A3C-42D9-A5A7-8CE0AAE11AC1}">
  <dimension ref="A1:L12"/>
  <sheetViews>
    <sheetView tabSelected="1" workbookViewId="0">
      <selection activeCell="D15" sqref="D15"/>
    </sheetView>
  </sheetViews>
  <sheetFormatPr defaultRowHeight="14.4" x14ac:dyDescent="0.3"/>
  <cols>
    <col min="1" max="1" width="7" bestFit="1" customWidth="1"/>
    <col min="2" max="2" width="14.5546875" bestFit="1" customWidth="1"/>
    <col min="3" max="3" width="10.109375" customWidth="1"/>
    <col min="4" max="4" width="17.21875" customWidth="1"/>
    <col min="5" max="5" width="11" bestFit="1" customWidth="1"/>
    <col min="6" max="6" width="19" bestFit="1" customWidth="1"/>
    <col min="7" max="7" width="13.6640625" bestFit="1" customWidth="1"/>
    <col min="8" max="8" width="34.6640625" bestFit="1" customWidth="1"/>
  </cols>
  <sheetData>
    <row r="1" spans="1:12" ht="17.399999999999999" x14ac:dyDescent="0.3">
      <c r="A1" s="9" t="s">
        <v>21</v>
      </c>
      <c r="B1" s="9"/>
      <c r="C1" s="9"/>
      <c r="D1" s="9"/>
      <c r="E1" s="9"/>
      <c r="F1" s="9"/>
      <c r="G1" s="9"/>
      <c r="H1" s="9"/>
    </row>
    <row r="2" spans="1:12" ht="47.4" customHeight="1" x14ac:dyDescent="0.3">
      <c r="A2" s="23" t="s">
        <v>22</v>
      </c>
      <c r="B2" s="23" t="s">
        <v>23</v>
      </c>
      <c r="C2" s="23" t="s">
        <v>24</v>
      </c>
      <c r="D2" s="23" t="s">
        <v>25</v>
      </c>
      <c r="E2" s="23" t="s">
        <v>26</v>
      </c>
      <c r="F2" s="23" t="s">
        <v>27</v>
      </c>
      <c r="G2" s="23" t="s">
        <v>28</v>
      </c>
      <c r="H2" s="23" t="s">
        <v>29</v>
      </c>
    </row>
    <row r="3" spans="1:12" x14ac:dyDescent="0.3">
      <c r="A3" s="10">
        <v>1</v>
      </c>
      <c r="B3" s="11" t="s">
        <v>30</v>
      </c>
      <c r="C3" s="12" t="s">
        <v>31</v>
      </c>
      <c r="D3" s="6" t="s">
        <v>32</v>
      </c>
      <c r="E3" s="6">
        <v>9443728367</v>
      </c>
      <c r="F3" s="6" t="s">
        <v>33</v>
      </c>
      <c r="G3" s="6"/>
      <c r="H3" s="13" t="s">
        <v>34</v>
      </c>
    </row>
    <row r="4" spans="1:12" x14ac:dyDescent="0.3">
      <c r="A4" s="10">
        <v>2</v>
      </c>
      <c r="B4" s="11" t="s">
        <v>35</v>
      </c>
      <c r="C4" s="14" t="s">
        <v>36</v>
      </c>
      <c r="D4" s="14" t="s">
        <v>37</v>
      </c>
      <c r="E4" s="12">
        <v>7598088250</v>
      </c>
      <c r="F4" s="14" t="s">
        <v>38</v>
      </c>
      <c r="G4" s="14" t="s">
        <v>39</v>
      </c>
      <c r="H4" s="15" t="s">
        <v>40</v>
      </c>
    </row>
    <row r="5" spans="1:12" x14ac:dyDescent="0.3">
      <c r="A5" s="10">
        <v>3</v>
      </c>
      <c r="B5" s="16" t="s">
        <v>41</v>
      </c>
      <c r="C5" s="17" t="s">
        <v>42</v>
      </c>
      <c r="D5" s="14" t="s">
        <v>43</v>
      </c>
      <c r="E5" s="12">
        <v>6385774471</v>
      </c>
      <c r="F5" s="14" t="s">
        <v>44</v>
      </c>
      <c r="G5" s="14"/>
      <c r="H5" s="15" t="s">
        <v>45</v>
      </c>
    </row>
    <row r="6" spans="1:12" x14ac:dyDescent="0.3">
      <c r="A6" s="10">
        <v>4</v>
      </c>
      <c r="B6" s="18" t="s">
        <v>46</v>
      </c>
      <c r="C6" s="12" t="s">
        <v>36</v>
      </c>
      <c r="D6" s="12" t="s">
        <v>47</v>
      </c>
      <c r="E6" s="12">
        <v>8778634689</v>
      </c>
      <c r="F6" s="19" t="s">
        <v>48</v>
      </c>
      <c r="G6" s="19"/>
      <c r="H6" s="15" t="s">
        <v>49</v>
      </c>
    </row>
    <row r="7" spans="1:12" x14ac:dyDescent="0.3">
      <c r="A7" s="10">
        <v>5</v>
      </c>
      <c r="B7" s="20" t="s">
        <v>50</v>
      </c>
      <c r="C7" s="12" t="s">
        <v>31</v>
      </c>
      <c r="D7" s="12" t="s">
        <v>51</v>
      </c>
      <c r="E7" s="12">
        <v>9080534735</v>
      </c>
      <c r="F7" s="19" t="s">
        <v>52</v>
      </c>
      <c r="G7" s="19"/>
      <c r="H7" s="15" t="s">
        <v>53</v>
      </c>
      <c r="L7">
        <f>2026-2021</f>
        <v>5</v>
      </c>
    </row>
    <row r="8" spans="1:12" x14ac:dyDescent="0.3">
      <c r="A8" s="10">
        <v>6</v>
      </c>
      <c r="B8" s="20" t="s">
        <v>54</v>
      </c>
      <c r="C8" s="12" t="s">
        <v>31</v>
      </c>
      <c r="D8" s="12" t="s">
        <v>55</v>
      </c>
      <c r="E8" s="12">
        <v>9486320020</v>
      </c>
      <c r="F8" s="19" t="s">
        <v>52</v>
      </c>
      <c r="G8" s="19"/>
      <c r="H8" s="15" t="s">
        <v>56</v>
      </c>
    </row>
    <row r="9" spans="1:12" x14ac:dyDescent="0.3">
      <c r="A9" s="10">
        <v>7</v>
      </c>
      <c r="B9" s="18" t="s">
        <v>57</v>
      </c>
      <c r="C9" s="17" t="s">
        <v>42</v>
      </c>
      <c r="D9" s="17" t="s">
        <v>58</v>
      </c>
      <c r="E9" s="17">
        <v>9659492732</v>
      </c>
      <c r="F9" s="19" t="s">
        <v>52</v>
      </c>
      <c r="G9" s="19"/>
      <c r="H9" s="15" t="s">
        <v>59</v>
      </c>
    </row>
    <row r="10" spans="1:12" ht="26.4" x14ac:dyDescent="0.3">
      <c r="A10" s="10">
        <v>8</v>
      </c>
      <c r="B10" s="18" t="s">
        <v>60</v>
      </c>
      <c r="C10" s="12" t="s">
        <v>61</v>
      </c>
      <c r="D10" s="12" t="s">
        <v>62</v>
      </c>
      <c r="E10" s="12">
        <v>9043118227</v>
      </c>
      <c r="F10" s="19" t="s">
        <v>52</v>
      </c>
      <c r="G10" s="19"/>
      <c r="H10" s="21" t="s">
        <v>63</v>
      </c>
    </row>
    <row r="11" spans="1:12" x14ac:dyDescent="0.3">
      <c r="A11" s="10">
        <v>9</v>
      </c>
      <c r="B11" s="18" t="s">
        <v>64</v>
      </c>
      <c r="C11" s="17" t="s">
        <v>31</v>
      </c>
      <c r="D11" s="17" t="s">
        <v>65</v>
      </c>
      <c r="E11" s="17">
        <v>8825770973</v>
      </c>
      <c r="F11" s="19" t="s">
        <v>52</v>
      </c>
      <c r="G11" s="19"/>
      <c r="H11" s="15" t="s">
        <v>66</v>
      </c>
    </row>
    <row r="12" spans="1:12" x14ac:dyDescent="0.3">
      <c r="A12" s="22"/>
      <c r="B12" s="22"/>
      <c r="C12" s="22"/>
      <c r="D12" s="22"/>
      <c r="E12" s="22"/>
      <c r="F12" s="22"/>
      <c r="G12" s="22"/>
      <c r="H12" s="22"/>
    </row>
  </sheetData>
  <mergeCells count="1">
    <mergeCell ref="A1:H1"/>
  </mergeCells>
  <hyperlinks>
    <hyperlink ref="H4" r:id="rId1" xr:uid="{22760F5C-0A2E-485C-AA4B-6124384A1DE2}"/>
    <hyperlink ref="H10" r:id="rId2" xr:uid="{244F0BB2-88F5-43E1-A7B0-D27D6B86AA12}"/>
    <hyperlink ref="H9" r:id="rId3" xr:uid="{DAC7F92C-8EE0-492E-A79B-584C9003A656}"/>
    <hyperlink ref="H11" r:id="rId4" xr:uid="{F6C9D3F8-5D15-4B08-9E51-B7010ED27CE7}"/>
    <hyperlink ref="H6" r:id="rId5" xr:uid="{E0CB3CDD-93C1-48D3-99B2-8F41C25EBC94}"/>
    <hyperlink ref="H7" r:id="rId6" xr:uid="{3C3B2479-F9F2-48A9-8BF8-91CC8E555261}"/>
    <hyperlink ref="H8" r:id="rId7" xr:uid="{754E2DC0-C932-4D28-AE72-E26048195B51}"/>
    <hyperlink ref="H3" r:id="rId8" xr:uid="{41626FFC-03F5-4591-BFC1-3BEB3E9C647A}"/>
    <hyperlink ref="H5" r:id="rId9" xr:uid="{805EDF65-4077-44B1-8C67-1430577646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DCF0-B8D3-4E9F-BCF9-83B8FAB9D654}">
  <dimension ref="A1:F18"/>
  <sheetViews>
    <sheetView workbookViewId="0">
      <selection activeCell="H10" sqref="H10"/>
    </sheetView>
  </sheetViews>
  <sheetFormatPr defaultRowHeight="14.4" x14ac:dyDescent="0.3"/>
  <cols>
    <col min="2" max="2" width="30.88671875" customWidth="1"/>
    <col min="3" max="3" width="12" bestFit="1" customWidth="1"/>
    <col min="4" max="4" width="14.5546875" bestFit="1" customWidth="1"/>
    <col min="5" max="5" width="12" bestFit="1" customWidth="1"/>
    <col min="6" max="6" width="15.21875" customWidth="1"/>
  </cols>
  <sheetData>
    <row r="1" spans="1:6" x14ac:dyDescent="0.3">
      <c r="A1" s="4" t="s">
        <v>2</v>
      </c>
      <c r="B1" s="4" t="s">
        <v>3</v>
      </c>
      <c r="C1" s="4" t="s">
        <v>18</v>
      </c>
      <c r="D1" s="4" t="s">
        <v>17</v>
      </c>
      <c r="E1" s="4" t="s">
        <v>19</v>
      </c>
      <c r="F1" s="4" t="s">
        <v>20</v>
      </c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ht="18" x14ac:dyDescent="0.3">
      <c r="A4" s="1">
        <v>1.1000000000000001</v>
      </c>
      <c r="B4" s="2" t="s">
        <v>4</v>
      </c>
      <c r="C4" s="7">
        <v>1</v>
      </c>
      <c r="D4" s="8">
        <v>6000</v>
      </c>
      <c r="E4" s="8">
        <v>1</v>
      </c>
      <c r="F4" s="8">
        <v>6528</v>
      </c>
    </row>
    <row r="5" spans="1:6" ht="31.2" x14ac:dyDescent="0.3">
      <c r="A5" s="1">
        <v>1.2</v>
      </c>
      <c r="B5" s="3" t="s">
        <v>0</v>
      </c>
      <c r="C5" s="7">
        <v>30</v>
      </c>
      <c r="D5" s="8"/>
      <c r="E5" s="8">
        <v>8</v>
      </c>
      <c r="F5" s="8"/>
    </row>
    <row r="6" spans="1:6" ht="31.2" x14ac:dyDescent="0.3">
      <c r="A6" s="1">
        <v>1.3</v>
      </c>
      <c r="B6" s="3" t="s">
        <v>5</v>
      </c>
      <c r="C6" s="7">
        <v>900</v>
      </c>
      <c r="D6" s="8"/>
      <c r="E6" s="8">
        <v>13</v>
      </c>
      <c r="F6" s="8"/>
    </row>
    <row r="7" spans="1:6" ht="31.2" x14ac:dyDescent="0.3">
      <c r="A7" s="1">
        <v>2.1</v>
      </c>
      <c r="B7" s="2" t="s">
        <v>1</v>
      </c>
      <c r="C7" s="7">
        <v>12</v>
      </c>
      <c r="D7" s="8">
        <v>360</v>
      </c>
      <c r="E7" s="8"/>
      <c r="F7" s="8"/>
    </row>
    <row r="8" spans="1:6" ht="31.2" x14ac:dyDescent="0.3">
      <c r="A8" s="1">
        <v>2.2000000000000002</v>
      </c>
      <c r="B8" s="2" t="s">
        <v>6</v>
      </c>
      <c r="C8" s="7">
        <v>3</v>
      </c>
      <c r="D8" s="8"/>
      <c r="E8" s="8">
        <v>0</v>
      </c>
      <c r="F8" s="8"/>
    </row>
    <row r="9" spans="1:6" ht="31.2" x14ac:dyDescent="0.3">
      <c r="A9" s="1">
        <v>3.1</v>
      </c>
      <c r="B9" s="2" t="s">
        <v>7</v>
      </c>
      <c r="C9" s="7">
        <v>18</v>
      </c>
      <c r="D9" s="8"/>
      <c r="E9" s="8">
        <v>0</v>
      </c>
      <c r="F9" s="8"/>
    </row>
    <row r="10" spans="1:6" ht="46.8" x14ac:dyDescent="0.3">
      <c r="A10" s="1">
        <v>3.2</v>
      </c>
      <c r="B10" s="2" t="s">
        <v>8</v>
      </c>
      <c r="C10" s="7">
        <v>6</v>
      </c>
      <c r="D10" s="8"/>
      <c r="E10" s="8">
        <v>0</v>
      </c>
      <c r="F10" s="8"/>
    </row>
    <row r="11" spans="1:6" ht="18" x14ac:dyDescent="0.3">
      <c r="A11" s="1">
        <v>4.0999999999999996</v>
      </c>
      <c r="B11" s="2" t="s">
        <v>9</v>
      </c>
      <c r="C11" s="7">
        <v>3</v>
      </c>
      <c r="D11" s="8"/>
      <c r="E11" s="8">
        <v>0</v>
      </c>
      <c r="F11" s="8"/>
    </row>
    <row r="12" spans="1:6" ht="46.8" x14ac:dyDescent="0.3">
      <c r="A12" s="1">
        <v>4.2</v>
      </c>
      <c r="B12" s="2" t="s">
        <v>10</v>
      </c>
      <c r="C12" s="7">
        <v>2</v>
      </c>
      <c r="D12" s="8"/>
      <c r="E12" s="8">
        <v>0</v>
      </c>
      <c r="F12" s="8"/>
    </row>
    <row r="13" spans="1:6" ht="31.2" x14ac:dyDescent="0.3">
      <c r="A13" s="1">
        <v>4.3</v>
      </c>
      <c r="B13" s="2" t="s">
        <v>11</v>
      </c>
      <c r="C13" s="7">
        <v>84</v>
      </c>
      <c r="D13" s="8"/>
      <c r="E13" s="8">
        <v>0</v>
      </c>
      <c r="F13" s="8"/>
    </row>
    <row r="14" spans="1:6" ht="31.2" x14ac:dyDescent="0.3">
      <c r="A14" s="1">
        <v>4.4000000000000004</v>
      </c>
      <c r="B14" s="2" t="s">
        <v>12</v>
      </c>
      <c r="C14" s="7">
        <v>300</v>
      </c>
      <c r="D14" s="8"/>
      <c r="E14" s="8">
        <v>0</v>
      </c>
      <c r="F14" s="8"/>
    </row>
    <row r="15" spans="1:6" ht="18" x14ac:dyDescent="0.3">
      <c r="A15" s="1">
        <v>5.0999999999999996</v>
      </c>
      <c r="B15" s="2" t="s">
        <v>13</v>
      </c>
      <c r="C15" s="7">
        <v>8</v>
      </c>
      <c r="D15" s="8"/>
      <c r="E15" s="8">
        <v>2</v>
      </c>
      <c r="F15" s="8"/>
    </row>
    <row r="16" spans="1:6" ht="31.2" x14ac:dyDescent="0.3">
      <c r="A16" s="1">
        <v>5.2</v>
      </c>
      <c r="B16" s="2" t="s">
        <v>14</v>
      </c>
      <c r="C16" s="7">
        <v>1</v>
      </c>
      <c r="D16" s="8"/>
      <c r="E16" s="8">
        <v>0</v>
      </c>
      <c r="F16" s="8"/>
    </row>
    <row r="17" spans="1:6" ht="31.2" x14ac:dyDescent="0.3">
      <c r="A17" s="1">
        <v>5.3</v>
      </c>
      <c r="B17" s="2" t="s">
        <v>15</v>
      </c>
      <c r="C17" s="7">
        <v>36</v>
      </c>
      <c r="D17" s="8"/>
      <c r="E17" s="8">
        <v>25</v>
      </c>
      <c r="F17" s="8"/>
    </row>
    <row r="18" spans="1:6" ht="17.399999999999999" x14ac:dyDescent="0.3">
      <c r="A18" s="4" t="s">
        <v>16</v>
      </c>
      <c r="B18" s="4"/>
      <c r="C18" s="5">
        <f>SUM(C4:C17)</f>
        <v>1404</v>
      </c>
      <c r="D18" s="5">
        <f t="shared" ref="D18:F18" si="0">SUM(D4:D17)</f>
        <v>6360</v>
      </c>
      <c r="E18" s="5">
        <f t="shared" si="0"/>
        <v>49</v>
      </c>
      <c r="F18" s="5">
        <f t="shared" si="0"/>
        <v>6528</v>
      </c>
    </row>
  </sheetData>
  <mergeCells count="7">
    <mergeCell ref="A18:B18"/>
    <mergeCell ref="C1:C3"/>
    <mergeCell ref="D1:D3"/>
    <mergeCell ref="E1:E3"/>
    <mergeCell ref="F1:F3"/>
    <mergeCell ref="A1:A3"/>
    <mergeCell ref="B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DETAILS</vt:lpstr>
      <vt:lpstr>EVENTS - 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 Shiny</dc:creator>
  <cp:lastModifiedBy>Benit Shiny</cp:lastModifiedBy>
  <dcterms:created xsi:type="dcterms:W3CDTF">2026-06-24T10:27:53Z</dcterms:created>
  <dcterms:modified xsi:type="dcterms:W3CDTF">2026-06-24T12:10:46Z</dcterms:modified>
</cp:coreProperties>
</file>